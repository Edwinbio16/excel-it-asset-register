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1 IT Asset Management System\"/>
    </mc:Choice>
  </mc:AlternateContent>
  <xr:revisionPtr revIDLastSave="0" documentId="13_ncr:1_{9126C657-7B1D-4617-969C-0D69C39A18B6}" xr6:coauthVersionLast="47" xr6:coauthVersionMax="47" xr10:uidLastSave="{00000000-0000-0000-0000-000000000000}"/>
  <bookViews>
    <workbookView xWindow="945" yWindow="2595" windowWidth="18330" windowHeight="11295" xr2:uid="{793FE424-4671-4B88-8D1F-987604FDFA20}"/>
  </bookViews>
  <sheets>
    <sheet name="Sheet1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C11" i="1"/>
  <c r="D11" i="1" s="1"/>
  <c r="E11" i="1" s="1"/>
  <c r="F11" i="1" s="1"/>
  <c r="C10" i="1"/>
  <c r="D10" i="1" s="1"/>
  <c r="E10" i="1" s="1"/>
  <c r="F10" i="1" s="1"/>
  <c r="G10" i="1" s="1"/>
  <c r="H10" i="1" s="1"/>
  <c r="C4" i="1"/>
  <c r="D4" i="1" s="1"/>
  <c r="E4" i="1" s="1"/>
  <c r="F4" i="1" s="1"/>
  <c r="G4" i="1" s="1"/>
  <c r="H4" i="1" s="1"/>
  <c r="F5" i="1"/>
  <c r="G5" i="1" s="1"/>
  <c r="H5" i="1" s="1"/>
  <c r="H11" i="1" l="1"/>
</calcChain>
</file>

<file path=xl/sharedStrings.xml><?xml version="1.0" encoding="utf-8"?>
<sst xmlns="http://schemas.openxmlformats.org/spreadsheetml/2006/main" count="74" uniqueCount="65">
  <si>
    <t>Asset_ID</t>
  </si>
  <si>
    <t>Asset_Type</t>
  </si>
  <si>
    <t>Brand</t>
  </si>
  <si>
    <t>Model</t>
  </si>
  <si>
    <t>Serial_Number</t>
  </si>
  <si>
    <t>Assigned_User</t>
  </si>
  <si>
    <t>Department</t>
  </si>
  <si>
    <t>Location</t>
  </si>
  <si>
    <t>Status</t>
  </si>
  <si>
    <t>Purchase_Date</t>
  </si>
  <si>
    <t>Warranty_End</t>
  </si>
  <si>
    <t>Notes</t>
  </si>
  <si>
    <t>Lap-001</t>
  </si>
  <si>
    <t>Laptop</t>
  </si>
  <si>
    <t>HP</t>
  </si>
  <si>
    <t>Latitude 5420</t>
  </si>
  <si>
    <t>Mon-001</t>
  </si>
  <si>
    <t>Monitor</t>
  </si>
  <si>
    <t>Alienware</t>
  </si>
  <si>
    <t>IT-2026-0001</t>
  </si>
  <si>
    <t>IT-2026-0003</t>
  </si>
  <si>
    <t>IT-2026-0002</t>
  </si>
  <si>
    <t>IT-2026-0000</t>
  </si>
  <si>
    <t>Edwin</t>
  </si>
  <si>
    <t>IT</t>
  </si>
  <si>
    <t>Office</t>
  </si>
  <si>
    <t>In use</t>
  </si>
  <si>
    <t>Issued with company software pre-installed</t>
  </si>
  <si>
    <t>Joe</t>
  </si>
  <si>
    <t>Finance</t>
  </si>
  <si>
    <t>Remote</t>
  </si>
  <si>
    <t>Spare</t>
  </si>
  <si>
    <t>24-inch, height-adjustable</t>
  </si>
  <si>
    <t xml:space="preserve">Phone </t>
  </si>
  <si>
    <t>Apple</t>
  </si>
  <si>
    <t>James</t>
  </si>
  <si>
    <t>HR</t>
  </si>
  <si>
    <t>Repair</t>
  </si>
  <si>
    <t>Peter</t>
  </si>
  <si>
    <t>Raymond</t>
  </si>
  <si>
    <t>Sales</t>
  </si>
  <si>
    <t>Customer Service</t>
  </si>
  <si>
    <t>Marketing</t>
  </si>
  <si>
    <t>Operations</t>
  </si>
  <si>
    <t>George</t>
  </si>
  <si>
    <t>Emily</t>
  </si>
  <si>
    <t>On site</t>
  </si>
  <si>
    <t>Company SIM included</t>
  </si>
  <si>
    <t>Tablet</t>
  </si>
  <si>
    <t>Printer</t>
  </si>
  <si>
    <t>Keyboard</t>
  </si>
  <si>
    <t>Mouse</t>
  </si>
  <si>
    <t>Lenovo</t>
  </si>
  <si>
    <t>Brother</t>
  </si>
  <si>
    <t>iPad</t>
  </si>
  <si>
    <t>PHN-001</t>
  </si>
  <si>
    <t>TBT-001</t>
  </si>
  <si>
    <t>PRR-001</t>
  </si>
  <si>
    <t>KBD-001</t>
  </si>
  <si>
    <t>ME-001</t>
  </si>
  <si>
    <t xml:space="preserve"> Used for training new employees</t>
  </si>
  <si>
    <t>Spare device kept in IT storage</t>
  </si>
  <si>
    <t>Requires software update before next use.</t>
  </si>
  <si>
    <t>Assigned temporarily during team project</t>
  </si>
  <si>
    <t>Purchase_cost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</si>
</sst>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£-809]#,##0.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C5198-B4EC-4050-93F4-EE40F3CB15B7}" name="Table2" displayName="Table2" ref="A1:H13" totalsRowShown="0" headerRowDxfId="2" dataDxfId="3">
  <autoFilter ref="A1:H13" xr:uid="{B9EC5198-B4EC-4050-93F4-EE40F3CB15B7}"/>
  <tableColumns count="8">
    <tableColumn id="1" xr3:uid="{E43C3089-DF1F-4470-8D6A-8DBFD02D0214}" name="Asset_ID" dataDxfId="0"/>
    <tableColumn id="2" xr3:uid="{B67E130F-5764-4267-8A61-95419E113A63}" name="Lap-001" dataDxfId="1"/>
    <tableColumn id="3" xr3:uid="{D285F663-BD89-4D32-93AD-713D42AACD85}" name="Mon-001" dataDxfId="9"/>
    <tableColumn id="4" xr3:uid="{9CD71C99-2895-4B08-BC6D-432B709579C9}" name="PHN-001" dataDxfId="8"/>
    <tableColumn id="5" xr3:uid="{7BBD1B15-F0D3-43F3-A19A-B2E132E718FB}" name="TBT-001" dataDxfId="7"/>
    <tableColumn id="6" xr3:uid="{BAD3E07F-DEA1-45D4-B2A5-1598588C4764}" name="PRR-001" dataDxfId="6"/>
    <tableColumn id="7" xr3:uid="{30A8893E-BAB8-438E-8280-7FCD0D85C4D6}" name="KBD-001" dataDxfId="5"/>
    <tableColumn id="8" xr3:uid="{2EE24868-3AE4-4782-9C1C-50DAD9768559}" name="ME-001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8518-2415-4C52-B18C-17AE6C55A1A1}">
  <dimension ref="A1:H13"/>
  <sheetViews>
    <sheetView tabSelected="1" workbookViewId="0">
      <selection activeCell="B13" sqref="B13:H13"/>
    </sheetView>
  </sheetViews>
  <sheetFormatPr defaultRowHeight="15" x14ac:dyDescent="0.25"/>
  <cols>
    <col min="1" max="1" width="14" style="4" customWidth="1"/>
    <col min="2" max="2" width="39.42578125" style="1" customWidth="1"/>
    <col min="3" max="3" width="27.28515625" style="1" customWidth="1"/>
    <col min="4" max="4" width="21" style="1" customWidth="1"/>
    <col min="5" max="5" width="32.7109375" style="1" customWidth="1"/>
    <col min="6" max="6" width="41.85546875" style="1" customWidth="1"/>
    <col min="7" max="7" width="39.28515625" style="1" customWidth="1"/>
    <col min="8" max="8" width="35.85546875" style="1" customWidth="1"/>
    <col min="9" max="16384" width="9.140625" style="1"/>
  </cols>
  <sheetData>
    <row r="1" spans="1:8" x14ac:dyDescent="0.25">
      <c r="A1" s="4" t="s">
        <v>0</v>
      </c>
      <c r="B1" s="1" t="s">
        <v>12</v>
      </c>
      <c r="C1" s="1" t="s">
        <v>16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25">
      <c r="A2" s="4" t="s">
        <v>1</v>
      </c>
      <c r="B2" s="1" t="s">
        <v>13</v>
      </c>
      <c r="C2" s="1" t="s">
        <v>17</v>
      </c>
      <c r="D2" s="1" t="s">
        <v>33</v>
      </c>
      <c r="E2" s="1" t="s">
        <v>48</v>
      </c>
      <c r="F2" s="1" t="s">
        <v>49</v>
      </c>
      <c r="G2" s="1" t="s">
        <v>50</v>
      </c>
      <c r="H2" s="1" t="s">
        <v>51</v>
      </c>
    </row>
    <row r="3" spans="1:8" x14ac:dyDescent="0.25">
      <c r="A3" s="4" t="s">
        <v>2</v>
      </c>
      <c r="B3" s="1" t="s">
        <v>14</v>
      </c>
      <c r="C3" s="1" t="s">
        <v>18</v>
      </c>
      <c r="D3" s="1" t="s">
        <v>34</v>
      </c>
      <c r="E3" s="1" t="s">
        <v>54</v>
      </c>
      <c r="F3" s="1" t="s">
        <v>53</v>
      </c>
      <c r="G3" s="1" t="s">
        <v>52</v>
      </c>
      <c r="H3" s="1" t="s">
        <v>52</v>
      </c>
    </row>
    <row r="4" spans="1:8" x14ac:dyDescent="0.25">
      <c r="A4" s="4" t="s">
        <v>3</v>
      </c>
      <c r="B4" s="2" t="s">
        <v>15</v>
      </c>
      <c r="C4" s="1" t="str">
        <f>LEFT(B4,FIND(" ",B4))&amp;VALUE(RIGHT(B4,4))+1</f>
        <v>Latitude 5421</v>
      </c>
      <c r="D4" s="1" t="str">
        <f t="shared" ref="D4:H4" si="0">LEFT(C4,FIND(" ",C4))&amp;VALUE(RIGHT(C4,4))+1</f>
        <v>Latitude 5422</v>
      </c>
      <c r="E4" s="1" t="str">
        <f t="shared" si="0"/>
        <v>Latitude 5423</v>
      </c>
      <c r="F4" s="1" t="str">
        <f t="shared" si="0"/>
        <v>Latitude 5424</v>
      </c>
      <c r="G4" s="1" t="str">
        <f t="shared" si="0"/>
        <v>Latitude 5425</v>
      </c>
      <c r="H4" s="1" t="str">
        <f t="shared" si="0"/>
        <v>Latitude 5426</v>
      </c>
    </row>
    <row r="5" spans="1:8" x14ac:dyDescent="0.25">
      <c r="A5" s="4" t="s">
        <v>4</v>
      </c>
      <c r="B5" s="1" t="s">
        <v>22</v>
      </c>
      <c r="C5" s="1" t="s">
        <v>19</v>
      </c>
      <c r="D5" s="1" t="s">
        <v>21</v>
      </c>
      <c r="E5" s="1" t="s">
        <v>20</v>
      </c>
      <c r="F5" s="1" t="str">
        <f>LEFT(E5,9)&amp;TEXT(RIGHT(E5,4)+1,"000")</f>
        <v>IT-2026-0004</v>
      </c>
      <c r="G5" s="1" t="str">
        <f>LEFT(F5,9)&amp;TEXT(RIGHT(F5,4)+1,"000")</f>
        <v>IT-2026-0005</v>
      </c>
      <c r="H5" s="1" t="str">
        <f>LEFT(G5,9)&amp;TEXT(RIGHT(G5,4)+1,"000")</f>
        <v>IT-2026-0006</v>
      </c>
    </row>
    <row r="6" spans="1:8" x14ac:dyDescent="0.25">
      <c r="A6" s="4" t="s">
        <v>5</v>
      </c>
      <c r="B6" s="1" t="s">
        <v>23</v>
      </c>
      <c r="C6" s="1" t="s">
        <v>28</v>
      </c>
      <c r="D6" s="1" t="s">
        <v>35</v>
      </c>
      <c r="E6" s="1" t="s">
        <v>38</v>
      </c>
      <c r="F6" s="1" t="s">
        <v>39</v>
      </c>
      <c r="G6" s="1" t="s">
        <v>44</v>
      </c>
      <c r="H6" s="1" t="s">
        <v>45</v>
      </c>
    </row>
    <row r="7" spans="1:8" x14ac:dyDescent="0.25">
      <c r="A7" s="4" t="s">
        <v>6</v>
      </c>
      <c r="B7" s="1" t="s">
        <v>24</v>
      </c>
      <c r="C7" s="1" t="s">
        <v>29</v>
      </c>
      <c r="D7" s="1" t="s">
        <v>36</v>
      </c>
      <c r="E7" s="1" t="s">
        <v>40</v>
      </c>
      <c r="F7" s="1" t="s">
        <v>41</v>
      </c>
      <c r="G7" s="1" t="s">
        <v>42</v>
      </c>
      <c r="H7" s="1" t="s">
        <v>43</v>
      </c>
    </row>
    <row r="8" spans="1:8" x14ac:dyDescent="0.25">
      <c r="A8" s="4" t="s">
        <v>7</v>
      </c>
      <c r="B8" s="1" t="s">
        <v>25</v>
      </c>
      <c r="C8" s="1" t="s">
        <v>30</v>
      </c>
      <c r="D8" s="1" t="s">
        <v>25</v>
      </c>
      <c r="E8" s="1" t="s">
        <v>25</v>
      </c>
      <c r="F8" s="1" t="s">
        <v>46</v>
      </c>
      <c r="G8" s="1" t="s">
        <v>25</v>
      </c>
      <c r="H8" s="1" t="s">
        <v>46</v>
      </c>
    </row>
    <row r="9" spans="1:8" x14ac:dyDescent="0.25">
      <c r="A9" s="4" t="s">
        <v>8</v>
      </c>
      <c r="B9" s="1" t="s">
        <v>26</v>
      </c>
      <c r="C9" s="1" t="s">
        <v>31</v>
      </c>
      <c r="D9" s="5" t="s">
        <v>37</v>
      </c>
      <c r="E9" s="1" t="s">
        <v>26</v>
      </c>
      <c r="F9" s="5" t="s">
        <v>37</v>
      </c>
      <c r="G9" s="1" t="s">
        <v>31</v>
      </c>
      <c r="H9" s="1" t="s">
        <v>31</v>
      </c>
    </row>
    <row r="10" spans="1:8" x14ac:dyDescent="0.25">
      <c r="A10" s="4" t="s">
        <v>9</v>
      </c>
      <c r="B10" s="3">
        <v>44848</v>
      </c>
      <c r="C10" s="3">
        <f>B10 + 1</f>
        <v>44849</v>
      </c>
      <c r="D10" s="3">
        <f t="shared" ref="D10:H10" si="1">C10 + 1</f>
        <v>44850</v>
      </c>
      <c r="E10" s="3">
        <f t="shared" si="1"/>
        <v>44851</v>
      </c>
      <c r="F10" s="3">
        <f>E10 + 1</f>
        <v>44852</v>
      </c>
      <c r="G10" s="3">
        <f>F10 + 1</f>
        <v>44853</v>
      </c>
      <c r="H10" s="3">
        <f t="shared" si="1"/>
        <v>44854</v>
      </c>
    </row>
    <row r="11" spans="1:8" x14ac:dyDescent="0.25">
      <c r="A11" s="4" t="s">
        <v>10</v>
      </c>
      <c r="B11" s="6">
        <v>45944</v>
      </c>
      <c r="C11" s="6">
        <f>B11 + 2</f>
        <v>45946</v>
      </c>
      <c r="D11" s="6">
        <f t="shared" ref="D11:H11" si="2">C11 + 2</f>
        <v>45948</v>
      </c>
      <c r="E11" s="6">
        <f t="shared" si="2"/>
        <v>45950</v>
      </c>
      <c r="F11" s="6">
        <f>E11 + 2</f>
        <v>45952</v>
      </c>
      <c r="G11" s="6">
        <f>F11 + 2</f>
        <v>45954</v>
      </c>
      <c r="H11" s="6">
        <f t="shared" si="2"/>
        <v>45956</v>
      </c>
    </row>
    <row r="12" spans="1:8" x14ac:dyDescent="0.25">
      <c r="A12" s="4" t="s">
        <v>11</v>
      </c>
      <c r="B12" s="1" t="s">
        <v>27</v>
      </c>
      <c r="C12" s="1" t="s">
        <v>32</v>
      </c>
      <c r="D12" s="1" t="s">
        <v>47</v>
      </c>
      <c r="E12" s="1" t="s">
        <v>60</v>
      </c>
      <c r="F12" s="1" t="s">
        <v>63</v>
      </c>
      <c r="G12" s="1" t="s">
        <v>62</v>
      </c>
      <c r="H12" s="1" t="s">
        <v>61</v>
      </c>
    </row>
    <row r="13" spans="1:8" x14ac:dyDescent="0.25">
      <c r="A13" s="4" t="s">
        <v>64</v>
      </c>
      <c r="B13" s="7">
        <v>199.99</v>
      </c>
      <c r="C13" s="7">
        <v>149.99</v>
      </c>
      <c r="D13" s="7">
        <v>255.99</v>
      </c>
      <c r="E13" s="7">
        <v>124.99</v>
      </c>
      <c r="F13" s="7">
        <v>499.99</v>
      </c>
      <c r="G13" s="7">
        <v>19.989999999999998</v>
      </c>
      <c r="H13" s="7">
        <v>13.99</v>
      </c>
    </row>
  </sheetData>
  <dataConsolidate/>
  <dataValidations count="4">
    <dataValidation type="list" allowBlank="1" showInputMessage="1" showErrorMessage="1" sqref="A8" xr:uid="{0A8F8F38-1109-423F-A29E-D03AE90C50D3}">
      <formula1>"Office"</formula1>
    </dataValidation>
    <dataValidation type="list" allowBlank="1" showInputMessage="1" showErrorMessage="1" sqref="B8:H8" xr:uid="{98066724-FA35-4249-B6E3-0388AF5118C1}">
      <formula1>"Office , Remote, On site"</formula1>
    </dataValidation>
    <dataValidation type="list" allowBlank="1" showInputMessage="1" showErrorMessage="1" sqref="B7:H7" xr:uid="{52507FED-157B-4CDD-BB86-3B501B5ECC38}">
      <formula1>"IT, Finance, HR, Sales, Marketing, Customer Service, Operations"</formula1>
    </dataValidation>
    <dataValidation type="list" allowBlank="1" showInputMessage="1" showErrorMessage="1" sqref="B2:H2" xr:uid="{635FA309-19F7-4552-8276-5E886753518B}">
      <formula1>"Laptop, Monitor, Phone, Tablet, Printer, Keyboard, Mouse, Docking Station"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F246-7BBA-4DFC-9001-88DED3DB2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3E302-7CAE-44A2-A2F6-33C15537F3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</cp:lastModifiedBy>
  <dcterms:created xsi:type="dcterms:W3CDTF">2026-01-07T03:05:05Z</dcterms:created>
  <dcterms:modified xsi:type="dcterms:W3CDTF">2026-01-07T10:06:11Z</dcterms:modified>
</cp:coreProperties>
</file>