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B038481A-223F-4821-9AE7-0F59EBB134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E11" i="3"/>
  <c r="B11" i="3"/>
  <c r="E10" i="3"/>
  <c r="B10" i="3"/>
  <c r="E9" i="3"/>
  <c r="B9" i="3"/>
  <c r="E8" i="3"/>
  <c r="B8" i="3"/>
  <c r="B4" i="3"/>
  <c r="B3" i="3"/>
  <c r="K8" i="2"/>
  <c r="K7" i="2"/>
  <c r="B16" i="3" s="1"/>
  <c r="K6" i="2"/>
  <c r="K5" i="2"/>
  <c r="K4" i="2"/>
  <c r="K3" i="2"/>
  <c r="E3" i="2"/>
  <c r="E4" i="2" s="1"/>
  <c r="E5" i="2" s="1"/>
  <c r="E6" i="2" s="1"/>
  <c r="E7" i="2" s="1"/>
  <c r="E8" i="2" s="1"/>
  <c r="D3" i="2"/>
  <c r="D4" i="2" s="1"/>
  <c r="D5" i="2" s="1"/>
  <c r="D6" i="2" s="1"/>
  <c r="D7" i="2" s="1"/>
  <c r="D8" i="2" s="1"/>
  <c r="K2" i="2"/>
  <c r="C11" i="1"/>
  <c r="D11" i="1" s="1"/>
  <c r="E11" i="1" s="1"/>
  <c r="F11" i="1" s="1"/>
  <c r="G11" i="1" s="1"/>
  <c r="H11" i="1" s="1"/>
  <c r="C10" i="1"/>
  <c r="D10" i="1" s="1"/>
  <c r="E10" i="1" s="1"/>
  <c r="F10" i="1" s="1"/>
  <c r="G10" i="1" s="1"/>
  <c r="H10" i="1" s="1"/>
  <c r="F5" i="1"/>
  <c r="G5" i="1" s="1"/>
  <c r="H5" i="1" s="1"/>
  <c r="C4" i="1"/>
  <c r="D4" i="1" s="1"/>
  <c r="E4" i="1" s="1"/>
  <c r="F4" i="1" s="1"/>
  <c r="G4" i="1" s="1"/>
  <c r="H4" i="1" s="1"/>
  <c r="B17" i="3" l="1"/>
</calcChain>
</file>

<file path=xl/sharedStrings.xml><?xml version="1.0" encoding="utf-8"?>
<sst xmlns="http://schemas.openxmlformats.org/spreadsheetml/2006/main" count="167" uniqueCount="78">
  <si>
    <t>Asset_ID</t>
  </si>
  <si>
    <t>Lap-001</t>
  </si>
  <si>
    <t>Mon-001</t>
  </si>
  <si>
    <t>PHN-001</t>
  </si>
  <si>
    <t>TBT-001</t>
  </si>
  <si>
    <t>PRR-001</t>
  </si>
  <si>
    <t>KBD-001</t>
  </si>
  <si>
    <t>ME-001</t>
  </si>
  <si>
    <t>Asset_Type</t>
  </si>
  <si>
    <t>Laptop</t>
  </si>
  <si>
    <t>Monitor</t>
  </si>
  <si>
    <t xml:space="preserve">Phone </t>
  </si>
  <si>
    <t>Tablet</t>
  </si>
  <si>
    <t>Printer</t>
  </si>
  <si>
    <t>Keyboard</t>
  </si>
  <si>
    <t>Mouse</t>
  </si>
  <si>
    <t>Brand</t>
  </si>
  <si>
    <t>HP</t>
  </si>
  <si>
    <t>Alienware</t>
  </si>
  <si>
    <t>Apple</t>
  </si>
  <si>
    <t>iPad</t>
  </si>
  <si>
    <t>Brother</t>
  </si>
  <si>
    <t>Lenovo</t>
  </si>
  <si>
    <t>Model</t>
  </si>
  <si>
    <t>Latitude 5420</t>
  </si>
  <si>
    <t>Serial_Number</t>
  </si>
  <si>
    <t>IT-2026-0000</t>
  </si>
  <si>
    <t>IT-2026-0001</t>
  </si>
  <si>
    <t>IT-2026-0002</t>
  </si>
  <si>
    <t>IT-2026-0003</t>
  </si>
  <si>
    <t>Assigned_User</t>
  </si>
  <si>
    <t>Edwin</t>
  </si>
  <si>
    <t>Joe</t>
  </si>
  <si>
    <t>James</t>
  </si>
  <si>
    <t>Peter</t>
  </si>
  <si>
    <t>Raymond</t>
  </si>
  <si>
    <t>George</t>
  </si>
  <si>
    <t>Emily</t>
  </si>
  <si>
    <t>Department</t>
  </si>
  <si>
    <t>IT</t>
  </si>
  <si>
    <t>Finance</t>
  </si>
  <si>
    <t>HR</t>
  </si>
  <si>
    <t>Sales</t>
  </si>
  <si>
    <t>Customer Service</t>
  </si>
  <si>
    <t>Marketing</t>
  </si>
  <si>
    <t>Operations</t>
  </si>
  <si>
    <t>Location</t>
  </si>
  <si>
    <t>Office</t>
  </si>
  <si>
    <t>Remote</t>
  </si>
  <si>
    <t>On site</t>
  </si>
  <si>
    <t>Status</t>
  </si>
  <si>
    <t>In use</t>
  </si>
  <si>
    <t>Spare</t>
  </si>
  <si>
    <t>Repair</t>
  </si>
  <si>
    <t>Purchase_Date</t>
  </si>
  <si>
    <t>Warranty_End</t>
  </si>
  <si>
    <t>Notes</t>
  </si>
  <si>
    <t>Issued with company software pre-installed</t>
  </si>
  <si>
    <t>24-inch, height-adjustable</t>
  </si>
  <si>
    <t>Company SIM included</t>
  </si>
  <si>
    <t xml:space="preserve"> Used for training new employees</t>
  </si>
  <si>
    <t>Assigned temporarily during team project</t>
  </si>
  <si>
    <t>Requires software update before next use.</t>
  </si>
  <si>
    <t>Spare device kept in IT storage</t>
  </si>
  <si>
    <t>Purchase_cost</t>
  </si>
  <si>
    <t>Lap-002</t>
  </si>
  <si>
    <t>Lap-003</t>
  </si>
  <si>
    <t>Asset Register Summary</t>
  </si>
  <si>
    <t>Total assets</t>
  </si>
  <si>
    <t>Total purchase cost</t>
  </si>
  <si>
    <t>Assets by type</t>
  </si>
  <si>
    <t>Assets by status</t>
  </si>
  <si>
    <t>Type</t>
  </si>
  <si>
    <t>Count</t>
  </si>
  <si>
    <t>Retired</t>
  </si>
  <si>
    <t>Phone</t>
  </si>
  <si>
    <t>Warranty expired</t>
  </si>
  <si>
    <t>Warranty expires in next 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</si>
</sst>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"/>
    <numFmt numFmtId="165" formatCode="yyyy\-mm\-dd"/>
    <numFmt numFmtId="167" formatCode="\£#,##0.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name val="Aptos Narrow"/>
      <family val="2"/>
    </font>
    <font>
      <b/>
      <sz val="16"/>
      <name val="Aptos Narrow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167" fontId="0" fillId="0" borderId="1" xfId="0" applyNumberForma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6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10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</font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13" totalsRowShown="0" headerRowDxfId="9" dataDxfId="8">
  <autoFilter ref="A1:H13" xr:uid="{00000000-0009-0000-0100-000001000000}"/>
  <tableColumns count="8">
    <tableColumn id="1" xr3:uid="{00000000-0010-0000-0000-000001000000}" name="Asset_ID" dataDxfId="7"/>
    <tableColumn id="2" xr3:uid="{00000000-0010-0000-0000-000002000000}" name="Lap-001" dataDxfId="6"/>
    <tableColumn id="3" xr3:uid="{00000000-0010-0000-0000-000003000000}" name="Mon-001" dataDxfId="5"/>
    <tableColumn id="4" xr3:uid="{00000000-0010-0000-0000-000004000000}" name="PHN-001" dataDxfId="4"/>
    <tableColumn id="5" xr3:uid="{00000000-0010-0000-0000-000005000000}" name="TBT-001" dataDxfId="3"/>
    <tableColumn id="6" xr3:uid="{00000000-0010-0000-0000-000006000000}" name="PRR-001" dataDxfId="2"/>
    <tableColumn id="7" xr3:uid="{00000000-0010-0000-0000-000007000000}" name="KBD-001" dataDxfId="1"/>
    <tableColumn id="8" xr3:uid="{00000000-0010-0000-0000-000008000000}" name="ME-001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Table" displayName="AssetTable" ref="A1:M8">
  <autoFilter ref="A1:M8" xr:uid="{00000000-0009-0000-0100-000002000000}"/>
  <tableColumns count="13">
    <tableColumn id="1" xr3:uid="{00000000-0010-0000-0100-000001000000}" name="Asset_ID"/>
    <tableColumn id="2" xr3:uid="{00000000-0010-0000-0100-000002000000}" name="Asset_Type"/>
    <tableColumn id="3" xr3:uid="{00000000-0010-0000-0100-000003000000}" name="Brand"/>
    <tableColumn id="4" xr3:uid="{00000000-0010-0000-0100-000004000000}" name="Model"/>
    <tableColumn id="5" xr3:uid="{00000000-0010-0000-0100-000005000000}" name="Serial_Number"/>
    <tableColumn id="6" xr3:uid="{00000000-0010-0000-0100-000006000000}" name="Assigned_User"/>
    <tableColumn id="7" xr3:uid="{00000000-0010-0000-0100-000007000000}" name="Department"/>
    <tableColumn id="8" xr3:uid="{00000000-0010-0000-0100-000008000000}" name="Location"/>
    <tableColumn id="9" xr3:uid="{00000000-0010-0000-0100-000009000000}" name="Status"/>
    <tableColumn id="10" xr3:uid="{00000000-0010-0000-0100-00000A000000}" name="Purchase_Date"/>
    <tableColumn id="11" xr3:uid="{00000000-0010-0000-0100-00000B000000}" name="Warranty_End"/>
    <tableColumn id="12" xr3:uid="{00000000-0010-0000-0100-00000C000000}" name="Notes"/>
    <tableColumn id="13" xr3:uid="{00000000-0010-0000-0100-00000D000000}" name="Purchase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B17" sqref="B17"/>
    </sheetView>
  </sheetViews>
  <sheetFormatPr defaultRowHeight="15" x14ac:dyDescent="0.25"/>
  <cols>
    <col min="1" max="1" width="14" style="4" customWidth="1"/>
    <col min="2" max="2" width="39.42578125" style="1" customWidth="1"/>
    <col min="3" max="3" width="27.28515625" style="1" customWidth="1"/>
    <col min="4" max="4" width="21" style="1" customWidth="1"/>
    <col min="5" max="5" width="32.7109375" style="1" customWidth="1"/>
    <col min="6" max="6" width="41.85546875" style="1" customWidth="1"/>
    <col min="7" max="7" width="39.28515625" style="1" customWidth="1"/>
    <col min="8" max="8" width="33.140625" style="1" customWidth="1"/>
    <col min="9" max="10" width="9.140625" style="1" customWidth="1"/>
    <col min="11" max="16384" width="9.140625" style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4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</row>
    <row r="4" spans="1:8" x14ac:dyDescent="0.25">
      <c r="A4" s="4" t="s">
        <v>23</v>
      </c>
      <c r="B4" s="2" t="s">
        <v>24</v>
      </c>
      <c r="C4" s="1" t="str">
        <f t="shared" ref="C4:H4" si="0">LEFT(B4,FIND(" ",B4))&amp;VALUE(RIGHT(B4,4))+1</f>
        <v>Latitude 5421</v>
      </c>
      <c r="D4" s="1" t="str">
        <f t="shared" si="0"/>
        <v>Latitude 5422</v>
      </c>
      <c r="E4" s="1" t="str">
        <f t="shared" si="0"/>
        <v>Latitude 5423</v>
      </c>
      <c r="F4" s="1" t="str">
        <f t="shared" si="0"/>
        <v>Latitude 5424</v>
      </c>
      <c r="G4" s="1" t="str">
        <f t="shared" si="0"/>
        <v>Latitude 5425</v>
      </c>
      <c r="H4" s="1" t="str">
        <f t="shared" si="0"/>
        <v>Latitude 5426</v>
      </c>
    </row>
    <row r="5" spans="1:8" x14ac:dyDescent="0.25">
      <c r="A5" s="4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tr">
        <f>LEFT(E5,9)&amp;TEXT(RIGHT(E5,4)+1,"000")</f>
        <v>IT-2026-0004</v>
      </c>
      <c r="G5" s="1" t="str">
        <f>LEFT(F5,9)&amp;TEXT(RIGHT(F5,4)+1,"000")</f>
        <v>IT-2026-0005</v>
      </c>
      <c r="H5" s="1" t="str">
        <f>LEFT(G5,9)&amp;TEXT(RIGHT(G5,4)+1,"000")</f>
        <v>IT-2026-0006</v>
      </c>
    </row>
    <row r="6" spans="1:8" x14ac:dyDescent="0.25">
      <c r="A6" s="4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x14ac:dyDescent="0.25">
      <c r="A7" s="4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 x14ac:dyDescent="0.25">
      <c r="A8" s="4" t="s">
        <v>46</v>
      </c>
      <c r="B8" s="1" t="s">
        <v>47</v>
      </c>
      <c r="C8" s="1" t="s">
        <v>48</v>
      </c>
      <c r="D8" s="1" t="s">
        <v>47</v>
      </c>
      <c r="E8" s="1" t="s">
        <v>47</v>
      </c>
      <c r="F8" s="1" t="s">
        <v>49</v>
      </c>
      <c r="G8" s="1" t="s">
        <v>47</v>
      </c>
      <c r="H8" s="1" t="s">
        <v>49</v>
      </c>
    </row>
    <row r="9" spans="1:8" x14ac:dyDescent="0.25">
      <c r="A9" s="4" t="s">
        <v>50</v>
      </c>
      <c r="B9" s="1" t="s">
        <v>51</v>
      </c>
      <c r="C9" s="1" t="s">
        <v>52</v>
      </c>
      <c r="D9" s="5" t="s">
        <v>53</v>
      </c>
      <c r="E9" s="1" t="s">
        <v>51</v>
      </c>
      <c r="F9" s="5" t="s">
        <v>53</v>
      </c>
      <c r="G9" s="1" t="s">
        <v>52</v>
      </c>
      <c r="H9" s="1" t="s">
        <v>52</v>
      </c>
    </row>
    <row r="10" spans="1:8" x14ac:dyDescent="0.25">
      <c r="A10" s="4" t="s">
        <v>54</v>
      </c>
      <c r="B10" s="3">
        <v>44848</v>
      </c>
      <c r="C10" s="3">
        <f t="shared" ref="C10:H10" si="1">B10 + 1</f>
        <v>44849</v>
      </c>
      <c r="D10" s="3">
        <f t="shared" si="1"/>
        <v>44850</v>
      </c>
      <c r="E10" s="3">
        <f t="shared" si="1"/>
        <v>44851</v>
      </c>
      <c r="F10" s="3">
        <f t="shared" si="1"/>
        <v>44852</v>
      </c>
      <c r="G10" s="3">
        <f t="shared" si="1"/>
        <v>44853</v>
      </c>
      <c r="H10" s="3">
        <f t="shared" si="1"/>
        <v>44854</v>
      </c>
    </row>
    <row r="11" spans="1:8" x14ac:dyDescent="0.25">
      <c r="A11" s="4" t="s">
        <v>55</v>
      </c>
      <c r="B11" s="6">
        <v>45944</v>
      </c>
      <c r="C11" s="6">
        <f t="shared" ref="C11:H11" si="2">B11 + 2</f>
        <v>45946</v>
      </c>
      <c r="D11" s="6">
        <f t="shared" si="2"/>
        <v>45948</v>
      </c>
      <c r="E11" s="6">
        <f t="shared" si="2"/>
        <v>45950</v>
      </c>
      <c r="F11" s="6">
        <f t="shared" si="2"/>
        <v>45952</v>
      </c>
      <c r="G11" s="6">
        <f t="shared" si="2"/>
        <v>45954</v>
      </c>
      <c r="H11" s="6">
        <f t="shared" si="2"/>
        <v>45956</v>
      </c>
    </row>
    <row r="12" spans="1:8" x14ac:dyDescent="0.25">
      <c r="A12" s="4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</row>
    <row r="13" spans="1:8" x14ac:dyDescent="0.25">
      <c r="A13" s="4" t="s">
        <v>64</v>
      </c>
      <c r="B13" s="7">
        <v>199.99</v>
      </c>
      <c r="C13" s="7">
        <v>149.99</v>
      </c>
      <c r="D13" s="7">
        <v>255.99</v>
      </c>
      <c r="E13" s="7">
        <v>124.99</v>
      </c>
      <c r="F13" s="7">
        <v>499.99</v>
      </c>
      <c r="G13" s="7">
        <v>19.989999999999998</v>
      </c>
      <c r="H13" s="7">
        <v>13.99</v>
      </c>
    </row>
  </sheetData>
  <dataValidations count="3">
    <dataValidation type="list" allowBlank="1" showInputMessage="1" showErrorMessage="1" sqref="B8:H8" xr:uid="{00000000-0002-0000-0000-000000000000}">
      <formula1>"Office , Remote, On site"</formula1>
    </dataValidation>
    <dataValidation type="list" allowBlank="1" showInputMessage="1" showErrorMessage="1" sqref="B7:H7" xr:uid="{00000000-0002-0000-0000-000001000000}">
      <formula1>"IT, Finance, HR, Sales, Marketing, Customer Service, Operations"</formula1>
    </dataValidation>
    <dataValidation type="list" allowBlank="1" showInputMessage="1" showErrorMessage="1" sqref="B2:H2" xr:uid="{00000000-0002-0000-0000-000002000000}">
      <formula1>"Laptop, Monitor, Phone, Tablet, Printer, Keyboard, Mouse, Docking Station"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L8" sqref="L8"/>
    </sheetView>
  </sheetViews>
  <sheetFormatPr defaultRowHeight="15" x14ac:dyDescent="0.25"/>
  <cols>
    <col min="1" max="3" width="16" customWidth="1"/>
    <col min="4" max="4" width="23" customWidth="1"/>
    <col min="5" max="5" width="21.85546875" customWidth="1"/>
    <col min="6" max="11" width="16" customWidth="1"/>
    <col min="12" max="12" width="25.85546875" customWidth="1"/>
    <col min="13" max="13" width="19" customWidth="1"/>
  </cols>
  <sheetData>
    <row r="1" spans="1:13" x14ac:dyDescent="0.25">
      <c r="A1" s="8" t="s">
        <v>0</v>
      </c>
      <c r="B1" s="8" t="s">
        <v>8</v>
      </c>
      <c r="C1" s="8" t="s">
        <v>16</v>
      </c>
      <c r="D1" s="8" t="s">
        <v>23</v>
      </c>
      <c r="E1" s="8" t="s">
        <v>25</v>
      </c>
      <c r="F1" s="8" t="s">
        <v>30</v>
      </c>
      <c r="G1" s="8" t="s">
        <v>38</v>
      </c>
      <c r="H1" s="8" t="s">
        <v>46</v>
      </c>
      <c r="I1" s="8" t="s">
        <v>50</v>
      </c>
      <c r="J1" s="8" t="s">
        <v>54</v>
      </c>
      <c r="K1" s="8" t="s">
        <v>55</v>
      </c>
      <c r="L1" s="8" t="s">
        <v>56</v>
      </c>
      <c r="M1" s="8" t="s">
        <v>64</v>
      </c>
    </row>
    <row r="2" spans="1:13" ht="35.25" customHeight="1" x14ac:dyDescent="0.25">
      <c r="A2" s="9" t="s">
        <v>1</v>
      </c>
      <c r="B2" s="9" t="s">
        <v>9</v>
      </c>
      <c r="C2" s="9" t="s">
        <v>17</v>
      </c>
      <c r="D2" s="9" t="s">
        <v>24</v>
      </c>
      <c r="E2" s="9" t="s">
        <v>26</v>
      </c>
      <c r="F2" s="9" t="s">
        <v>31</v>
      </c>
      <c r="G2" s="9" t="s">
        <v>39</v>
      </c>
      <c r="H2" s="9" t="s">
        <v>47</v>
      </c>
      <c r="I2" s="9" t="s">
        <v>51</v>
      </c>
      <c r="J2" s="10">
        <v>44848</v>
      </c>
      <c r="K2" s="10">
        <f t="shared" ref="K2:K8" si="0">EDATE(J2,36)</f>
        <v>45944</v>
      </c>
      <c r="L2" s="9" t="s">
        <v>57</v>
      </c>
      <c r="M2" s="11">
        <v>199.99</v>
      </c>
    </row>
    <row r="3" spans="1:13" ht="35.25" customHeight="1" x14ac:dyDescent="0.25">
      <c r="A3" s="9" t="s">
        <v>65</v>
      </c>
      <c r="B3" s="9" t="s">
        <v>9</v>
      </c>
      <c r="C3" s="9" t="s">
        <v>17</v>
      </c>
      <c r="D3" s="9" t="str">
        <f t="shared" ref="D3:D8" si="1">LEFT(D2,FIND(" ",D2))&amp;VALUE(RIGHT(D2,4))+1</f>
        <v>Latitude 5421</v>
      </c>
      <c r="E3" s="9" t="str">
        <f t="shared" ref="E3:E8" si="2">IFERROR(LEFT(E2,FIND("-",E2, FIND("-",E2)+1)) &amp; TEXT(VALUE(RIGHT(E2,4))+1,"0000"), E2)</f>
        <v>IT-2026-0001</v>
      </c>
      <c r="F3" s="9" t="s">
        <v>31</v>
      </c>
      <c r="G3" s="9" t="s">
        <v>39</v>
      </c>
      <c r="H3" s="9" t="s">
        <v>47</v>
      </c>
      <c r="I3" s="9" t="s">
        <v>51</v>
      </c>
      <c r="J3" s="10">
        <v>44849</v>
      </c>
      <c r="K3" s="10">
        <f t="shared" si="0"/>
        <v>45945</v>
      </c>
      <c r="L3" s="9" t="s">
        <v>57</v>
      </c>
      <c r="M3" s="11">
        <v>200.99</v>
      </c>
    </row>
    <row r="4" spans="1:13" ht="83.25" customHeight="1" x14ac:dyDescent="0.25">
      <c r="A4" s="9" t="s">
        <v>66</v>
      </c>
      <c r="B4" s="9" t="s">
        <v>9</v>
      </c>
      <c r="C4" s="9" t="s">
        <v>17</v>
      </c>
      <c r="D4" s="9" t="str">
        <f t="shared" si="1"/>
        <v>Latitude 5422</v>
      </c>
      <c r="E4" s="9" t="str">
        <f t="shared" si="2"/>
        <v>IT-2026-0002</v>
      </c>
      <c r="F4" s="9" t="s">
        <v>31</v>
      </c>
      <c r="G4" s="9" t="s">
        <v>39</v>
      </c>
      <c r="H4" s="9" t="s">
        <v>47</v>
      </c>
      <c r="I4" s="9" t="s">
        <v>51</v>
      </c>
      <c r="J4" s="10">
        <v>44850</v>
      </c>
      <c r="K4" s="10">
        <f t="shared" si="0"/>
        <v>45946</v>
      </c>
      <c r="L4" s="9" t="s">
        <v>57</v>
      </c>
      <c r="M4" s="11">
        <v>201.99</v>
      </c>
    </row>
    <row r="5" spans="1:13" ht="30" customHeight="1" x14ac:dyDescent="0.25">
      <c r="A5" s="9" t="s">
        <v>4</v>
      </c>
      <c r="B5" s="9" t="s">
        <v>12</v>
      </c>
      <c r="C5" s="9" t="s">
        <v>20</v>
      </c>
      <c r="D5" s="9" t="str">
        <f t="shared" si="1"/>
        <v>Latitude 5423</v>
      </c>
      <c r="E5" s="9" t="str">
        <f t="shared" si="2"/>
        <v>IT-2026-0003</v>
      </c>
      <c r="F5" s="9" t="s">
        <v>34</v>
      </c>
      <c r="G5" s="9" t="s">
        <v>42</v>
      </c>
      <c r="H5" s="9" t="s">
        <v>47</v>
      </c>
      <c r="I5" s="9" t="s">
        <v>51</v>
      </c>
      <c r="J5" s="10">
        <v>44851</v>
      </c>
      <c r="K5" s="10">
        <f t="shared" si="0"/>
        <v>45947</v>
      </c>
      <c r="L5" s="9" t="s">
        <v>60</v>
      </c>
      <c r="M5" s="11">
        <v>124.99</v>
      </c>
    </row>
    <row r="6" spans="1:13" ht="42" customHeight="1" x14ac:dyDescent="0.25">
      <c r="A6" s="9" t="s">
        <v>5</v>
      </c>
      <c r="B6" s="9" t="s">
        <v>13</v>
      </c>
      <c r="C6" s="9" t="s">
        <v>21</v>
      </c>
      <c r="D6" s="9" t="str">
        <f t="shared" si="1"/>
        <v>Latitude 5424</v>
      </c>
      <c r="E6" s="9" t="str">
        <f t="shared" si="2"/>
        <v>IT-2026-0004</v>
      </c>
      <c r="F6" s="9" t="s">
        <v>35</v>
      </c>
      <c r="G6" s="9" t="s">
        <v>43</v>
      </c>
      <c r="H6" s="9" t="s">
        <v>49</v>
      </c>
      <c r="I6" s="9" t="s">
        <v>53</v>
      </c>
      <c r="J6" s="10">
        <v>44852</v>
      </c>
      <c r="K6" s="10">
        <f t="shared" si="0"/>
        <v>45948</v>
      </c>
      <c r="L6" s="9" t="s">
        <v>61</v>
      </c>
      <c r="M6" s="11">
        <v>499.99</v>
      </c>
    </row>
    <row r="7" spans="1:13" ht="39.75" customHeight="1" x14ac:dyDescent="0.25">
      <c r="A7" s="9" t="s">
        <v>6</v>
      </c>
      <c r="B7" s="9" t="s">
        <v>14</v>
      </c>
      <c r="C7" s="9" t="s">
        <v>22</v>
      </c>
      <c r="D7" s="9" t="str">
        <f t="shared" si="1"/>
        <v>Latitude 5425</v>
      </c>
      <c r="E7" s="9" t="str">
        <f t="shared" si="2"/>
        <v>IT-2026-0005</v>
      </c>
      <c r="F7" s="9" t="s">
        <v>36</v>
      </c>
      <c r="G7" s="9" t="s">
        <v>44</v>
      </c>
      <c r="H7" s="9" t="s">
        <v>47</v>
      </c>
      <c r="I7" s="9" t="s">
        <v>52</v>
      </c>
      <c r="J7" s="10">
        <v>44853</v>
      </c>
      <c r="K7" s="10">
        <f t="shared" si="0"/>
        <v>45949</v>
      </c>
      <c r="L7" s="9" t="s">
        <v>62</v>
      </c>
      <c r="M7" s="11">
        <v>19.989999999999998</v>
      </c>
    </row>
    <row r="8" spans="1:13" ht="55.5" customHeight="1" x14ac:dyDescent="0.25">
      <c r="A8" s="9" t="s">
        <v>7</v>
      </c>
      <c r="B8" s="9" t="s">
        <v>15</v>
      </c>
      <c r="C8" s="9" t="s">
        <v>22</v>
      </c>
      <c r="D8" s="9" t="str">
        <f t="shared" si="1"/>
        <v>Latitude 5426</v>
      </c>
      <c r="E8" s="9" t="str">
        <f t="shared" si="2"/>
        <v>IT-2026-0006</v>
      </c>
      <c r="F8" s="9" t="s">
        <v>37</v>
      </c>
      <c r="G8" s="9" t="s">
        <v>45</v>
      </c>
      <c r="H8" s="9" t="s">
        <v>49</v>
      </c>
      <c r="I8" s="9" t="s">
        <v>52</v>
      </c>
      <c r="J8" s="10">
        <v>44854</v>
      </c>
      <c r="K8" s="10">
        <f t="shared" si="0"/>
        <v>45950</v>
      </c>
      <c r="L8" s="9" t="s">
        <v>63</v>
      </c>
      <c r="M8" s="11">
        <v>13.99</v>
      </c>
    </row>
  </sheetData>
  <dataValidations count="3">
    <dataValidation type="list" allowBlank="1" sqref="B2:B1048576" xr:uid="{00000000-0002-0000-0100-000000000000}">
      <formula1>"Keyboard,Laptop,Mouse,Printer,Tablet"</formula1>
    </dataValidation>
    <dataValidation type="list" allowBlank="1" sqref="I2:I1048576" xr:uid="{00000000-0002-0000-0100-000001000000}">
      <formula1>"In use,Repair,Spare,Retired"</formula1>
    </dataValidation>
    <dataValidation type="list" allowBlank="1" sqref="G2:G1048576" xr:uid="{00000000-0002-0000-0100-000002000000}">
      <formula1>"Customer Service,IT,Marketing,Operations,Sales"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32" customWidth="1"/>
    <col min="2" max="2" width="18" customWidth="1"/>
    <col min="3" max="3" width="3" customWidth="1"/>
    <col min="4" max="4" width="20" customWidth="1"/>
    <col min="5" max="5" width="12" customWidth="1"/>
  </cols>
  <sheetData>
    <row r="1" spans="1:5" ht="18.75" customHeight="1" x14ac:dyDescent="0.35">
      <c r="A1" s="12" t="s">
        <v>67</v>
      </c>
    </row>
    <row r="3" spans="1:5" x14ac:dyDescent="0.25">
      <c r="A3" s="13" t="s">
        <v>68</v>
      </c>
      <c r="B3" s="14">
        <f>COUNTA(AssetTable[Asset_ID])</f>
        <v>7</v>
      </c>
    </row>
    <row r="4" spans="1:5" x14ac:dyDescent="0.25">
      <c r="A4" s="13" t="s">
        <v>69</v>
      </c>
      <c r="B4" s="15">
        <f>SUM(AssetTable[Purchase_cost])</f>
        <v>1261.93</v>
      </c>
    </row>
    <row r="6" spans="1:5" x14ac:dyDescent="0.25">
      <c r="A6" s="13" t="s">
        <v>70</v>
      </c>
      <c r="D6" s="13" t="s">
        <v>71</v>
      </c>
    </row>
    <row r="7" spans="1:5" x14ac:dyDescent="0.25">
      <c r="A7" s="16" t="s">
        <v>72</v>
      </c>
      <c r="B7" s="17" t="s">
        <v>73</v>
      </c>
      <c r="D7" s="16" t="s">
        <v>50</v>
      </c>
      <c r="E7" s="17" t="s">
        <v>73</v>
      </c>
    </row>
    <row r="8" spans="1:5" x14ac:dyDescent="0.25">
      <c r="A8" s="18" t="s">
        <v>14</v>
      </c>
      <c r="B8" s="19">
        <f>COUNTIF(AssetTable[Asset_Type],"Keyboard")</f>
        <v>1</v>
      </c>
      <c r="D8" s="18" t="s">
        <v>51</v>
      </c>
      <c r="E8" s="19">
        <f>COUNTIF(AssetTable[Status],"In use")</f>
        <v>4</v>
      </c>
    </row>
    <row r="9" spans="1:5" x14ac:dyDescent="0.25">
      <c r="A9" s="18" t="s">
        <v>9</v>
      </c>
      <c r="B9" s="19">
        <f>COUNTIF(AssetTable[Asset_Type],"Laptop")</f>
        <v>3</v>
      </c>
      <c r="D9" s="18" t="s">
        <v>53</v>
      </c>
      <c r="E9" s="19">
        <f>COUNTIF(AssetTable[Status],"Repair")</f>
        <v>1</v>
      </c>
    </row>
    <row r="10" spans="1:5" x14ac:dyDescent="0.25">
      <c r="A10" s="18" t="s">
        <v>10</v>
      </c>
      <c r="B10" s="19">
        <f>COUNTIF(AssetTable[Asset_Type],"Monitor")</f>
        <v>0</v>
      </c>
      <c r="D10" s="18" t="s">
        <v>52</v>
      </c>
      <c r="E10" s="19">
        <f>COUNTIF(AssetTable[Status],"Spare")</f>
        <v>2</v>
      </c>
    </row>
    <row r="11" spans="1:5" x14ac:dyDescent="0.25">
      <c r="A11" s="18" t="s">
        <v>15</v>
      </c>
      <c r="B11" s="19">
        <f>COUNTIF(AssetTable[Asset_Type],"Mouse")</f>
        <v>1</v>
      </c>
      <c r="D11" s="18" t="s">
        <v>74</v>
      </c>
      <c r="E11" s="19">
        <f>COUNTIF(AssetTable[Status],"Retired")</f>
        <v>0</v>
      </c>
    </row>
    <row r="12" spans="1:5" x14ac:dyDescent="0.25">
      <c r="A12" s="18" t="s">
        <v>75</v>
      </c>
      <c r="B12" s="19">
        <f>COUNTIF(AssetTable[Asset_Type],"Phone")</f>
        <v>0</v>
      </c>
    </row>
    <row r="13" spans="1:5" x14ac:dyDescent="0.25">
      <c r="A13" s="18" t="s">
        <v>13</v>
      </c>
      <c r="B13" s="19">
        <f>COUNTIF(AssetTable[Asset_Type],"Printer")</f>
        <v>1</v>
      </c>
    </row>
    <row r="14" spans="1:5" x14ac:dyDescent="0.25">
      <c r="A14" s="18" t="s">
        <v>12</v>
      </c>
      <c r="B14" s="18">
        <f>COUNTIF(AssetTable[Asset_Type],"Tablet")</f>
        <v>1</v>
      </c>
    </row>
    <row r="16" spans="1:5" x14ac:dyDescent="0.25">
      <c r="A16" s="20" t="s">
        <v>76</v>
      </c>
      <c r="B16" s="21">
        <f ca="1">COUNTIF(AssetTable[Warranty_End],"&lt;"&amp;TODAY())</f>
        <v>7</v>
      </c>
    </row>
    <row r="17" spans="1:2" x14ac:dyDescent="0.25">
      <c r="A17" s="13" t="s">
        <v>77</v>
      </c>
      <c r="B17" s="14">
        <f ca="1">COUNTIFS(AssetTable[Warranty_End],"&gt;="&amp;TODAY(),AssetTable[Warranty_End],"&lt;="&amp;TODAY()+90)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</cp:lastModifiedBy>
  <dcterms:created xsi:type="dcterms:W3CDTF">2026-01-07T03:05:05Z</dcterms:created>
  <dcterms:modified xsi:type="dcterms:W3CDTF">2026-01-07T22:18:17Z</dcterms:modified>
</cp:coreProperties>
</file>